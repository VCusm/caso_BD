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M\AyudantiaBD\2026-1\t3\"/>
    </mc:Choice>
  </mc:AlternateContent>
  <xr:revisionPtr revIDLastSave="0" documentId="13_ncr:1_{4771A000-3BED-4A88-8102-88205AE473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úbrica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J28" i="1"/>
  <c r="J21" i="1"/>
  <c r="J20" i="1"/>
  <c r="J19" i="1"/>
  <c r="J18" i="1"/>
  <c r="J17" i="1"/>
  <c r="J16" i="1"/>
  <c r="J15" i="1"/>
  <c r="J14" i="1"/>
  <c r="J13" i="1"/>
  <c r="C35" i="1" l="1"/>
  <c r="J22" i="1"/>
</calcChain>
</file>

<file path=xl/sharedStrings.xml><?xml version="1.0" encoding="utf-8"?>
<sst xmlns="http://schemas.openxmlformats.org/spreadsheetml/2006/main" count="129" uniqueCount="118">
  <si>
    <t>Puntaje maximo: 100   |   Puntaje minimo aprobacion: 55   |   Puntaje minimo: 0</t>
  </si>
  <si>
    <t>Escala de valoración</t>
  </si>
  <si>
    <t>Sigla</t>
  </si>
  <si>
    <t>Leyenda</t>
  </si>
  <si>
    <t>% Logro</t>
  </si>
  <si>
    <t>Puntos (sobre 10)</t>
  </si>
  <si>
    <t>Puntos</t>
  </si>
  <si>
    <t>EL</t>
  </si>
  <si>
    <t>Excelente Logro</t>
  </si>
  <si>
    <t>100%</t>
  </si>
  <si>
    <t>CL</t>
  </si>
  <si>
    <t>Completamente Logrado</t>
  </si>
  <si>
    <t>80%</t>
  </si>
  <si>
    <t>L</t>
  </si>
  <si>
    <t>Logrado (aprobación)</t>
  </si>
  <si>
    <t>55%</t>
  </si>
  <si>
    <t>PL</t>
  </si>
  <si>
    <t>Parcialmente Logrado</t>
  </si>
  <si>
    <t>30%</t>
  </si>
  <si>
    <t>NL</t>
  </si>
  <si>
    <t>No Logrado</t>
  </si>
  <si>
    <t>0%</t>
  </si>
  <si>
    <t>Aspectos a evaluar (selecciona nivel en la columna 'Nivel')</t>
  </si>
  <si>
    <t>N°</t>
  </si>
  <si>
    <t>Aspectos a evaluar</t>
  </si>
  <si>
    <t>Puntaje Máx</t>
  </si>
  <si>
    <t>NL (e) 0</t>
  </si>
  <si>
    <t>Nivel</t>
  </si>
  <si>
    <t>Puntaje obtenido</t>
  </si>
  <si>
    <t>Observaciones</t>
  </si>
  <si>
    <t>Base transaccional T2 (obligatorio): se trabaja sobre la misma BD MySQL, mantiene estructura normalizada y funcionamiento.</t>
  </si>
  <si>
    <t>Usa exactamente la BD T2, integra tablas/relaciones sin romper el sistema; estructura normalizada y consistente; se evidencia con respaldo y refresh correcto.</t>
  </si>
  <si>
    <t>Usa BD T2 y funciona; pequenos ajustes no afectan consistencia; evidencia suficiente para validar.</t>
  </si>
  <si>
    <t>Se usa BD T2 pero con limitaciones (inconsistencias menores o partes no operativas); aun permite analisis basico.</t>
  </si>
  <si>
    <t>Se altera la BD de forma relevante o queda poco consistente; dificulta refrescar/analizar.</t>
  </si>
  <si>
    <t>No usa la BD T2 o no funciona.</t>
  </si>
  <si>
    <t>Poblamiento masivo y realista (obligatorio): cumple volumen minimo y cobertura territorial con variacion real.</t>
  </si>
  <si>
    <t>Cumple minimos: 300 postulaciones, 80 empresas, 50 usuarios; 8+ integrantes/postulacion (3 prof + 5 est, variacion 9-12), 3+ etapas; 5 sedes &gt;=20 veces; todas las regiones; variacion real (tipo, convenio, tamano, presupuestos/fechas/estados).</t>
  </si>
  <si>
    <t>Cumple la mayoria de minimos; 1 minimo queda levemente bajo o alguna variacion menor, sin perder realismo global.</t>
  </si>
  <si>
    <t>Cumple parcialmente: volumen o cobertura insuficiente en varios puntos, pero permite demostrar dashboards con ajustes.</t>
  </si>
  <si>
    <t>Datos poco realistas o claramente clonados; no permite analisis creible.</t>
  </si>
  <si>
    <t>No hay poblamiento masivo / no cumple requisitos.</t>
  </si>
  <si>
    <t>Respaldo BD (.sql) completo (estructura + datos) restaurable y reproducible para refrescar Power BI.</t>
  </si>
  <si>
    <t>Incluye backup completo; restaura sin errores en XAMPP/MySQL; deja datos listos para refrescar el PBIX (reproducible).</t>
  </si>
  <si>
    <t>Backup casi completo; requiere ajuste menor (orden/charset/definer) pero restaura y permite refrescar.</t>
  </si>
  <si>
    <t>Backup parcial o con detalles; restaura con varias correcciones, pero se puede recuperar.</t>
  </si>
  <si>
    <t>Backup con errores relevantes; no se puede restaurar de forma confiable.</t>
  </si>
  <si>
    <t>No incluye backup completo o no restaura.</t>
  </si>
  <si>
    <t>Conexion Power BI &lt;-&gt; MySQL y refresco reproducible (obligatorio): importacion/vistas o extraccion reproducible desde MySQL.</t>
  </si>
  <si>
    <t>PBIX conecta a MySQL y carga datos reales; refresh funciona siguiendo README; si usa vistas, son simples y correctas; no hay dependencias no documentadas.</t>
  </si>
  <si>
    <t>Conexion y refresh funcionan; pequenos ajustes de credenciales/parametros documentados.</t>
  </si>
  <si>
    <t>Conexion funciona de forma intermitente o requiere pasos manuales no bien documentados; aun se puede refrescar.</t>
  </si>
  <si>
    <t>No se logra refrescar o la conexion es incorrecta; requiere reconstruccion.</t>
  </si>
  <si>
    <t>No hay conexion a MySQL / no hay datos reales.</t>
  </si>
  <si>
    <t>Modelo de datos en Power BI: tablas/vistas importadas, relaciones correctas y filtros funcionan de forma consistente.</t>
  </si>
  <si>
    <t>Relaciones correctas (empresa-postulacion, sede-region, postulacion-equipo, postulacion-cronograma, etc.); filtros afectan visualizaciones como corresponde; sin ambiguedades.</t>
  </si>
  <si>
    <t>Relaciones mayormente correctas; 1 relacion o cardinalidad mejorable sin romper el reporte.</t>
  </si>
  <si>
    <t>Modelo funcional pero con varias relaciones suboptimas; algunos filtros no afectan como se espera.</t>
  </si>
  <si>
    <t>Relaciones incorrectas generan resultados erroneos (duplicaciones, totales inconsistentes).</t>
  </si>
  <si>
    <t>No hay modelo relacional util en Power BI.</t>
  </si>
  <si>
    <t>Dashboard 1 (obligatorio): Control general postulaciones y presupuesto (filtros, KPIs, graficos, tabla e interacciones).</t>
  </si>
  <si>
    <t>Incluye slicers requeridos; KPIs (postulaciones, presupuesto, empresas y opcional estado); graficos (post/mes, top10 empresas por presupuesto, presupuesto por region ejecucion, postulaciones por sede apilado por tipo) y tabla detalle; interacciones correctas.</t>
  </si>
  <si>
    <t>Cumple casi todo; falta 1 visual o 1 campo menor en tabla, pero mantiene proposito y segmentacion.</t>
  </si>
  <si>
    <t>Dashboard presente pero incompleto o con varias visualizaciones simplificadas; aun demuestra el objetivo general.</t>
  </si>
  <si>
    <t>Dashboard con fallas (campos equivocados, interacciones no funcionan, graficos no responden a filtros).</t>
  </si>
  <si>
    <t>No entrega Dashboard 1 o no funciona.</t>
  </si>
  <si>
    <t>Dashboard 2 (obligatorio): Gestion territorial y perfil de empresas (filtros, KPIs, visualizaciones y tabla).</t>
  </si>
  <si>
    <t>Incluye slicers; KPIs (total empresas, empresas convenio SI, postulaciones convenio NO, presupuesto); visuals (postulaciones por region y por sede, dona tamano empresa, apiladas por convenio, tabla empresas con #postulaciones y presupuesto); lectura clara.</t>
  </si>
  <si>
    <t>Cumple casi todo; falta 1 visual o algun campo menor, pero responde las preguntas de gestion.</t>
  </si>
  <si>
    <t>Dashboard presente pero limitado (poca segmentacion o tabla incompleta); aun se puede evaluar parcialmente.</t>
  </si>
  <si>
    <t>Dashboard con errores (agregaciones incorrectas, filtros no aplican, lectura confusa).</t>
  </si>
  <si>
    <t>No entrega Dashboard 2 o no funciona.</t>
  </si>
  <si>
    <t>Calidad analitica y consistencia: agregaciones correctas, ordenamientos (Top 10), etiquetas, usabilidad y coherencia con los datos.</t>
  </si>
  <si>
    <t>Agregaciones coherentes (Count/Sum), ordenamientos correctos, titulos/etiquetas claras; coherencia entre dashboards y datos; permite tomar decisiones sin ambiguedad.</t>
  </si>
  <si>
    <t>En general correcto; pequenos detalles de formato/orden o 1 inconsistencia menor.</t>
  </si>
  <si>
    <t>Se entiende la intencion, pero hay varios detalles de usabilidad o consistencia (orden, etiquetas, formatos).</t>
  </si>
  <si>
    <t>Resultados poco confiables por inconsistencias visibles o mala presentacion.</t>
  </si>
  <si>
    <t>No se evidencia analisis util.</t>
  </si>
  <si>
    <t>PDF (entregable): explica modelo de Power BI, incluye capturas de ambos dashboards y explica decisiones que permite tomar cada uno.</t>
  </si>
  <si>
    <t>PDF completo: modelo (tablas/relaciones), capturas pantalla completa de ambos dashboards y explicacion clara de decisiones/uso.</t>
  </si>
  <si>
    <t>PDF casi completo; falta un detalle menor (p.ej. una captura o explicacion breve) sin afectar la comprension.</t>
  </si>
  <si>
    <t>PDF basico: capturas y descripcion superficial; informacion parcial del modelo.</t>
  </si>
  <si>
    <t>PDF incompleto o desordenado; dificulta evaluar.</t>
  </si>
  <si>
    <t>No incluye PDF o no cumple contenido minimo.</t>
  </si>
  <si>
    <t>SUBTOTAL</t>
  </si>
  <si>
    <t>Resumen de puntaje</t>
  </si>
  <si>
    <t>Horas de atraso (0 si a tiempo):</t>
  </si>
  <si>
    <t>Descuento por hora (pts):</t>
  </si>
  <si>
    <t>Defensa realizada (SI/NO):</t>
  </si>
  <si>
    <t>SI</t>
  </si>
  <si>
    <t>Puntaje final (con bonus, tope 100):</t>
  </si>
  <si>
    <t>Estado (&gt;=55):</t>
  </si>
  <si>
    <t>Notas de pauta (resumen)</t>
  </si>
  <si>
    <t>- Trabajo en parejas (no se aceptan individuales).</t>
  </si>
  <si>
    <t>- Entrega via AULA: jueves 4 de junio de 2026 a las 23:59.</t>
  </si>
  <si>
    <t>- Usar Power BI Desktop y la BD MySQL de la Tarea 2 (XAMPP/phpMyAdmin).</t>
  </si>
  <si>
    <t>- Dashboards deben usar datos reales desde MySQL (conexion o extraccion reproducible).</t>
  </si>
  <si>
    <t>- Minimos: 300 postulaciones, 80 empresas, 50 usuarios; 8+ integrantes por postulacion (3 prof + 5 est, con variacion), 3+ etapas; 5 sedes &gt;=20 veces; todas las regiones; variacion real (tipo, convenio, tamano, presupuestos, fechas, etc.).</t>
  </si>
  <si>
    <t>- Regla de realismo: no datos clonados sin variacion.</t>
  </si>
  <si>
    <t>- Entregables en ZIP T3-ROL1-ROL2: PDF (modelo + capturas + decisiones), PBI (pbix con 2 paginas), BD (backup .sql estructura+datos), README con pasos (restaurar BD, parametros conexion, refresh, supuestos).</t>
  </si>
  <si>
    <t>- Debe abrir sin errores y permitir refrescar siguiendo README.</t>
  </si>
  <si>
    <t>- Debe defenderse para obtener nota; si no hay defensa, puntaje final = 0.</t>
  </si>
  <si>
    <t>- Si falla la ejecucion de algun comando, no se asigna puntaje a ese comando.</t>
  </si>
  <si>
    <t>Rubrica - Caso: Gestion de Datos (Power BI + MySQL) (CT-USM Postulaciones)</t>
  </si>
  <si>
    <t>Defensa Tarea</t>
  </si>
  <si>
    <t>7 
Respuesta Perfecta (Domina y Explica correctamente)</t>
  </si>
  <si>
    <t>4
Mediano (Responde Parcialmente)</t>
  </si>
  <si>
    <t>1
Responde Con Bastantes errores</t>
  </si>
  <si>
    <t>0
No responde</t>
  </si>
  <si>
    <t>EL (a) 8</t>
  </si>
  <si>
    <t>CL (b) 6</t>
  </si>
  <si>
    <t>L (c) 4</t>
  </si>
  <si>
    <t>PL (d) 1</t>
  </si>
  <si>
    <t>- Descuentos por incumplimiento de reglas/formato: se aplican (estilo 'T2')</t>
  </si>
  <si>
    <t>Pregunta 1</t>
  </si>
  <si>
    <t>Pregunta 2</t>
  </si>
  <si>
    <t>Pregunta 3</t>
  </si>
  <si>
    <t>Pregunta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</si>
</sst>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 quotePrefix="1" applyAlignment="1">
      <alignment vertical="top" wrapText="1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pane ySplit="12" topLeftCell="A21" activePane="bottomLeft" state="frozen"/>
      <selection pane="bottomLeft" activeCell="E31" sqref="E31"/>
    </sheetView>
  </sheetViews>
  <sheetFormatPr baseColWidth="10" defaultColWidth="8.85546875" defaultRowHeight="15" x14ac:dyDescent="0.25"/>
  <cols>
    <col min="1" max="1" width="4" customWidth="1"/>
    <col min="2" max="2" width="50" customWidth="1"/>
    <col min="3" max="3" width="11" customWidth="1"/>
    <col min="4" max="8" width="38" customWidth="1"/>
    <col min="9" max="9" width="8" customWidth="1"/>
    <col min="10" max="10" width="14" customWidth="1"/>
    <col min="11" max="11" width="28" customWidth="1"/>
    <col min="13" max="14" width="8" customWidth="1"/>
  </cols>
  <sheetData>
    <row r="1" spans="1:14" ht="24" customHeight="1" x14ac:dyDescent="0.35">
      <c r="A1" s="17" t="s">
        <v>103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4" ht="18" customHeight="1" x14ac:dyDescent="0.25">
      <c r="A2" s="16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4" ht="15.75" x14ac:dyDescent="0.25">
      <c r="A4" s="14" t="s">
        <v>1</v>
      </c>
      <c r="B4" s="15"/>
      <c r="C4" s="15"/>
      <c r="D4" s="15"/>
    </row>
    <row r="5" spans="1:14" ht="30" x14ac:dyDescent="0.25">
      <c r="A5" s="1" t="s">
        <v>2</v>
      </c>
      <c r="B5" s="1" t="s">
        <v>3</v>
      </c>
      <c r="C5" s="1" t="s">
        <v>4</v>
      </c>
      <c r="D5" s="1" t="s">
        <v>5</v>
      </c>
      <c r="M5" s="1" t="s">
        <v>2</v>
      </c>
      <c r="N5" s="1" t="s">
        <v>6</v>
      </c>
    </row>
    <row r="6" spans="1:14" x14ac:dyDescent="0.25">
      <c r="A6" s="2" t="s">
        <v>7</v>
      </c>
      <c r="B6" s="3" t="s">
        <v>8</v>
      </c>
      <c r="C6" s="2" t="s">
        <v>9</v>
      </c>
      <c r="D6" s="2">
        <v>8</v>
      </c>
      <c r="M6" s="2" t="s">
        <v>7</v>
      </c>
      <c r="N6" s="2">
        <v>8</v>
      </c>
    </row>
    <row r="7" spans="1:14" x14ac:dyDescent="0.25">
      <c r="A7" s="2" t="s">
        <v>10</v>
      </c>
      <c r="B7" s="3" t="s">
        <v>11</v>
      </c>
      <c r="C7" s="2" t="s">
        <v>12</v>
      </c>
      <c r="D7" s="2">
        <v>6</v>
      </c>
      <c r="M7" s="2" t="s">
        <v>10</v>
      </c>
      <c r="N7" s="2">
        <v>6</v>
      </c>
    </row>
    <row r="8" spans="1:14" x14ac:dyDescent="0.25">
      <c r="A8" s="2" t="s">
        <v>13</v>
      </c>
      <c r="B8" s="3" t="s">
        <v>14</v>
      </c>
      <c r="C8" s="2" t="s">
        <v>15</v>
      </c>
      <c r="D8" s="2">
        <v>4</v>
      </c>
      <c r="M8" s="2" t="s">
        <v>13</v>
      </c>
      <c r="N8" s="2">
        <v>4</v>
      </c>
    </row>
    <row r="9" spans="1:14" x14ac:dyDescent="0.25">
      <c r="A9" s="2" t="s">
        <v>16</v>
      </c>
      <c r="B9" s="3" t="s">
        <v>17</v>
      </c>
      <c r="C9" s="2" t="s">
        <v>18</v>
      </c>
      <c r="D9" s="2">
        <v>1</v>
      </c>
      <c r="M9" s="2" t="s">
        <v>16</v>
      </c>
      <c r="N9" s="2">
        <v>1</v>
      </c>
    </row>
    <row r="10" spans="1:14" x14ac:dyDescent="0.25">
      <c r="A10" s="2" t="s">
        <v>19</v>
      </c>
      <c r="B10" s="3" t="s">
        <v>20</v>
      </c>
      <c r="C10" s="2" t="s">
        <v>21</v>
      </c>
      <c r="D10" s="2">
        <v>0</v>
      </c>
      <c r="M10" s="2" t="s">
        <v>19</v>
      </c>
      <c r="N10" s="2">
        <v>0</v>
      </c>
    </row>
    <row r="11" spans="1:14" ht="15.75" x14ac:dyDescent="0.25">
      <c r="A11" s="14" t="s">
        <v>22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4" ht="28.15" customHeight="1" x14ac:dyDescent="0.25">
      <c r="A12" s="1" t="s">
        <v>23</v>
      </c>
      <c r="B12" s="1" t="s">
        <v>24</v>
      </c>
      <c r="C12" s="1" t="s">
        <v>25</v>
      </c>
      <c r="D12" s="1" t="s">
        <v>109</v>
      </c>
      <c r="E12" s="1" t="s">
        <v>110</v>
      </c>
      <c r="F12" s="1" t="s">
        <v>111</v>
      </c>
      <c r="G12" s="1" t="s">
        <v>112</v>
      </c>
      <c r="H12" s="1" t="s">
        <v>26</v>
      </c>
      <c r="I12" s="1" t="s">
        <v>27</v>
      </c>
      <c r="J12" s="1" t="s">
        <v>28</v>
      </c>
      <c r="K12" s="1" t="s">
        <v>29</v>
      </c>
    </row>
    <row r="13" spans="1:14" ht="90" customHeight="1" x14ac:dyDescent="0.25">
      <c r="A13" s="2">
        <v>1</v>
      </c>
      <c r="B13" s="7" t="s">
        <v>30</v>
      </c>
      <c r="C13" s="7">
        <v>8</v>
      </c>
      <c r="D13" s="7" t="s">
        <v>31</v>
      </c>
      <c r="E13" s="7" t="s">
        <v>32</v>
      </c>
      <c r="F13" s="7" t="s">
        <v>33</v>
      </c>
      <c r="G13" s="7" t="s">
        <v>34</v>
      </c>
      <c r="H13" s="7" t="s">
        <v>35</v>
      </c>
      <c r="I13" s="2"/>
      <c r="J13" s="2" t="str">
        <f t="shared" ref="J13:J21" si="0">IF(I13="","",VLOOKUP(I13,$M$6:$N$10,2,FALSE))</f>
        <v/>
      </c>
      <c r="K13" s="3"/>
    </row>
    <row r="14" spans="1:14" ht="90" customHeight="1" x14ac:dyDescent="0.25">
      <c r="A14" s="2">
        <v>2</v>
      </c>
      <c r="B14" s="7" t="s">
        <v>36</v>
      </c>
      <c r="C14" s="7">
        <v>8</v>
      </c>
      <c r="D14" s="7" t="s">
        <v>37</v>
      </c>
      <c r="E14" s="7" t="s">
        <v>38</v>
      </c>
      <c r="F14" s="7" t="s">
        <v>39</v>
      </c>
      <c r="G14" s="7" t="s">
        <v>40</v>
      </c>
      <c r="H14" s="7" t="s">
        <v>41</v>
      </c>
      <c r="I14" s="2"/>
      <c r="J14" s="2" t="str">
        <f t="shared" si="0"/>
        <v/>
      </c>
      <c r="K14" s="3"/>
    </row>
    <row r="15" spans="1:14" ht="90" customHeight="1" x14ac:dyDescent="0.25">
      <c r="A15" s="2">
        <v>3</v>
      </c>
      <c r="B15" s="7" t="s">
        <v>42</v>
      </c>
      <c r="C15" s="7">
        <v>8</v>
      </c>
      <c r="D15" s="7" t="s">
        <v>43</v>
      </c>
      <c r="E15" s="7" t="s">
        <v>44</v>
      </c>
      <c r="F15" s="7" t="s">
        <v>45</v>
      </c>
      <c r="G15" s="7" t="s">
        <v>46</v>
      </c>
      <c r="H15" s="7" t="s">
        <v>47</v>
      </c>
      <c r="I15" s="2"/>
      <c r="J15" s="2" t="str">
        <f t="shared" si="0"/>
        <v/>
      </c>
      <c r="K15" s="3"/>
    </row>
    <row r="16" spans="1:14" ht="90" customHeight="1" x14ac:dyDescent="0.25">
      <c r="A16" s="2">
        <v>4</v>
      </c>
      <c r="B16" s="7" t="s">
        <v>48</v>
      </c>
      <c r="C16" s="7">
        <v>8</v>
      </c>
      <c r="D16" s="7" t="s">
        <v>49</v>
      </c>
      <c r="E16" s="7" t="s">
        <v>50</v>
      </c>
      <c r="F16" s="7" t="s">
        <v>51</v>
      </c>
      <c r="G16" s="7" t="s">
        <v>52</v>
      </c>
      <c r="H16" s="7" t="s">
        <v>53</v>
      </c>
      <c r="I16" s="2"/>
      <c r="J16" s="2" t="str">
        <f t="shared" si="0"/>
        <v/>
      </c>
      <c r="K16" s="3"/>
    </row>
    <row r="17" spans="1:11" ht="90" customHeight="1" x14ac:dyDescent="0.25">
      <c r="A17" s="2">
        <v>5</v>
      </c>
      <c r="B17" s="7" t="s">
        <v>54</v>
      </c>
      <c r="C17" s="7">
        <v>8</v>
      </c>
      <c r="D17" s="7" t="s">
        <v>55</v>
      </c>
      <c r="E17" s="7" t="s">
        <v>56</v>
      </c>
      <c r="F17" s="7" t="s">
        <v>57</v>
      </c>
      <c r="G17" s="7" t="s">
        <v>58</v>
      </c>
      <c r="H17" s="7" t="s">
        <v>59</v>
      </c>
      <c r="I17" s="2"/>
      <c r="J17" s="2" t="str">
        <f t="shared" si="0"/>
        <v/>
      </c>
      <c r="K17" s="3"/>
    </row>
    <row r="18" spans="1:11" ht="90" customHeight="1" x14ac:dyDescent="0.25">
      <c r="A18" s="2">
        <v>6</v>
      </c>
      <c r="B18" s="7" t="s">
        <v>60</v>
      </c>
      <c r="C18" s="7">
        <v>8</v>
      </c>
      <c r="D18" s="7" t="s">
        <v>61</v>
      </c>
      <c r="E18" s="7" t="s">
        <v>62</v>
      </c>
      <c r="F18" s="7" t="s">
        <v>63</v>
      </c>
      <c r="G18" s="7" t="s">
        <v>64</v>
      </c>
      <c r="H18" s="7" t="s">
        <v>65</v>
      </c>
      <c r="I18" s="2"/>
      <c r="J18" s="2" t="str">
        <f t="shared" si="0"/>
        <v/>
      </c>
      <c r="K18" s="3"/>
    </row>
    <row r="19" spans="1:11" ht="90" customHeight="1" x14ac:dyDescent="0.25">
      <c r="A19" s="2">
        <v>7</v>
      </c>
      <c r="B19" s="7" t="s">
        <v>66</v>
      </c>
      <c r="C19" s="7">
        <v>8</v>
      </c>
      <c r="D19" s="7" t="s">
        <v>67</v>
      </c>
      <c r="E19" s="7" t="s">
        <v>68</v>
      </c>
      <c r="F19" s="7" t="s">
        <v>69</v>
      </c>
      <c r="G19" s="7" t="s">
        <v>70</v>
      </c>
      <c r="H19" s="7" t="s">
        <v>71</v>
      </c>
      <c r="I19" s="2"/>
      <c r="J19" s="2" t="str">
        <f t="shared" si="0"/>
        <v/>
      </c>
      <c r="K19" s="3"/>
    </row>
    <row r="20" spans="1:11" ht="90" customHeight="1" x14ac:dyDescent="0.25">
      <c r="A20" s="2">
        <v>8</v>
      </c>
      <c r="B20" s="7" t="s">
        <v>72</v>
      </c>
      <c r="C20" s="7">
        <v>8</v>
      </c>
      <c r="D20" s="7" t="s">
        <v>73</v>
      </c>
      <c r="E20" s="7" t="s">
        <v>74</v>
      </c>
      <c r="F20" s="7" t="s">
        <v>75</v>
      </c>
      <c r="G20" s="7" t="s">
        <v>76</v>
      </c>
      <c r="H20" s="7" t="s">
        <v>77</v>
      </c>
      <c r="I20" s="2"/>
      <c r="J20" s="2" t="str">
        <f t="shared" si="0"/>
        <v/>
      </c>
      <c r="K20" s="3"/>
    </row>
    <row r="21" spans="1:11" ht="90" customHeight="1" x14ac:dyDescent="0.25">
      <c r="A21" s="2">
        <v>9</v>
      </c>
      <c r="B21" s="7" t="s">
        <v>78</v>
      </c>
      <c r="C21" s="7">
        <v>8</v>
      </c>
      <c r="D21" s="7" t="s">
        <v>79</v>
      </c>
      <c r="E21" s="7" t="s">
        <v>80</v>
      </c>
      <c r="F21" s="7" t="s">
        <v>81</v>
      </c>
      <c r="G21" s="7" t="s">
        <v>82</v>
      </c>
      <c r="H21" s="7" t="s">
        <v>83</v>
      </c>
      <c r="I21" s="2"/>
      <c r="J21" s="2" t="str">
        <f t="shared" si="0"/>
        <v/>
      </c>
      <c r="K21" s="3"/>
    </row>
    <row r="22" spans="1:11" ht="30" x14ac:dyDescent="0.25">
      <c r="A22" s="4"/>
      <c r="B22" s="5"/>
      <c r="C22" s="4"/>
      <c r="D22" s="5"/>
      <c r="E22" s="5"/>
      <c r="F22" s="5"/>
      <c r="G22" s="5"/>
      <c r="H22" s="5"/>
      <c r="I22" s="6" t="s">
        <v>84</v>
      </c>
      <c r="J22" s="6">
        <f>SUM(J13:J21)</f>
        <v>0</v>
      </c>
      <c r="K22" s="5"/>
    </row>
    <row r="23" spans="1:11" ht="45" x14ac:dyDescent="0.25">
      <c r="A23" s="1" t="s">
        <v>23</v>
      </c>
      <c r="B23" s="1" t="s">
        <v>104</v>
      </c>
      <c r="C23" s="1"/>
      <c r="D23" s="1" t="s">
        <v>105</v>
      </c>
      <c r="E23" s="1" t="s">
        <v>106</v>
      </c>
      <c r="F23" s="1" t="s">
        <v>107</v>
      </c>
      <c r="G23" s="1" t="s">
        <v>108</v>
      </c>
      <c r="H23" s="3"/>
      <c r="I23" s="1" t="s">
        <v>27</v>
      </c>
      <c r="J23" s="1" t="s">
        <v>28</v>
      </c>
      <c r="K23" s="1" t="s">
        <v>29</v>
      </c>
    </row>
    <row r="24" spans="1:11" ht="22.15" customHeight="1" x14ac:dyDescent="0.25">
      <c r="A24" s="2">
        <v>10</v>
      </c>
      <c r="B24" s="3" t="s">
        <v>114</v>
      </c>
      <c r="C24" s="2"/>
      <c r="D24" s="2">
        <v>7</v>
      </c>
      <c r="E24" s="2">
        <v>4</v>
      </c>
      <c r="F24" s="2">
        <v>1</v>
      </c>
      <c r="G24" s="2">
        <v>0</v>
      </c>
      <c r="H24" s="3"/>
      <c r="I24" s="2"/>
      <c r="J24" s="2"/>
      <c r="K24" s="3"/>
    </row>
    <row r="25" spans="1:11" x14ac:dyDescent="0.25">
      <c r="A25" s="2">
        <v>11</v>
      </c>
      <c r="B25" s="3" t="s">
        <v>115</v>
      </c>
      <c r="C25" s="2"/>
      <c r="D25" s="2">
        <v>7</v>
      </c>
      <c r="E25" s="2">
        <v>4</v>
      </c>
      <c r="F25" s="2">
        <v>1</v>
      </c>
      <c r="G25" s="2">
        <v>0</v>
      </c>
      <c r="H25" s="3"/>
      <c r="I25" s="2"/>
      <c r="J25" s="2"/>
      <c r="K25" s="3"/>
    </row>
    <row r="26" spans="1:11" x14ac:dyDescent="0.25">
      <c r="A26" s="2">
        <v>12</v>
      </c>
      <c r="B26" s="3" t="s">
        <v>116</v>
      </c>
      <c r="C26" s="2"/>
      <c r="D26" s="2">
        <v>7</v>
      </c>
      <c r="E26" s="2">
        <v>4</v>
      </c>
      <c r="F26" s="2">
        <v>1</v>
      </c>
      <c r="G26" s="2">
        <v>0</v>
      </c>
      <c r="H26" s="3"/>
      <c r="I26" s="2"/>
      <c r="J26" s="2"/>
      <c r="K26" s="3"/>
    </row>
    <row r="27" spans="1:11" x14ac:dyDescent="0.25">
      <c r="A27" s="2">
        <v>13</v>
      </c>
      <c r="B27" s="3" t="s">
        <v>117</v>
      </c>
      <c r="C27" s="2"/>
      <c r="D27" s="2">
        <v>7</v>
      </c>
      <c r="E27" s="2">
        <v>4</v>
      </c>
      <c r="F27" s="2">
        <v>1</v>
      </c>
      <c r="G27" s="2">
        <v>0</v>
      </c>
      <c r="H27" s="3"/>
      <c r="J27" s="10"/>
      <c r="K27" s="3"/>
    </row>
    <row r="28" spans="1:11" ht="30" x14ac:dyDescent="0.25">
      <c r="A28" s="5"/>
      <c r="B28" s="5"/>
      <c r="C28" s="5"/>
      <c r="D28" s="5"/>
      <c r="E28" s="5"/>
      <c r="F28" s="5"/>
      <c r="G28" s="5"/>
      <c r="H28" s="5"/>
      <c r="I28" s="6" t="s">
        <v>84</v>
      </c>
      <c r="J28" s="6">
        <f>SUM(J24:J27)</f>
        <v>0</v>
      </c>
      <c r="K28" s="5"/>
    </row>
    <row r="29" spans="1:11" x14ac:dyDescent="0.25">
      <c r="A29" s="3"/>
      <c r="B29" s="3"/>
      <c r="C29" s="3"/>
      <c r="D29" s="11"/>
      <c r="E29" s="11"/>
      <c r="F29" s="11"/>
      <c r="G29" s="11"/>
      <c r="H29" s="11"/>
      <c r="I29" s="12"/>
      <c r="J29" s="12"/>
      <c r="K29" s="11"/>
    </row>
    <row r="30" spans="1:11" ht="15.75" x14ac:dyDescent="0.25">
      <c r="A30" s="14" t="s">
        <v>85</v>
      </c>
      <c r="B30" s="15"/>
      <c r="C30" s="15"/>
      <c r="D30" s="15"/>
    </row>
    <row r="31" spans="1:11" x14ac:dyDescent="0.25">
      <c r="A31" s="5"/>
      <c r="B31" s="5" t="s">
        <v>86</v>
      </c>
      <c r="C31" s="5">
        <v>0</v>
      </c>
    </row>
    <row r="32" spans="1:11" x14ac:dyDescent="0.25">
      <c r="A32" s="5"/>
      <c r="B32" s="5" t="s">
        <v>87</v>
      </c>
      <c r="C32" s="5">
        <v>10</v>
      </c>
    </row>
    <row r="33" spans="1:3" x14ac:dyDescent="0.25">
      <c r="A33" s="5"/>
      <c r="B33" s="5" t="s">
        <v>88</v>
      </c>
      <c r="C33" s="5" t="s">
        <v>89</v>
      </c>
    </row>
    <row r="34" spans="1:3" x14ac:dyDescent="0.25">
      <c r="A34" s="5"/>
      <c r="B34" s="5" t="s">
        <v>90</v>
      </c>
      <c r="C34" s="5">
        <f>IF(C33="NO",0,MAX(0,MIN(100,J22+J28 - IF(C31&gt;0,CEILING(C31,1)*C32,0))))</f>
        <v>0</v>
      </c>
    </row>
    <row r="35" spans="1:3" ht="30" x14ac:dyDescent="0.25">
      <c r="A35" s="5"/>
      <c r="B35" s="5" t="s">
        <v>91</v>
      </c>
      <c r="C35" s="5" t="str">
        <f>IF(C34&gt;=55,"APROBADO","REPROBADO")</f>
        <v>REPROBADO</v>
      </c>
    </row>
  </sheetData>
  <mergeCells count="5">
    <mergeCell ref="A30:D30"/>
    <mergeCell ref="A4:D4"/>
    <mergeCell ref="A2:K2"/>
    <mergeCell ref="A11:K11"/>
    <mergeCell ref="A1:K1"/>
  </mergeCells>
  <phoneticPr fontId="6" type="noConversion"/>
  <dataValidations count="2">
    <dataValidation type="list" sqref="C33" xr:uid="{A86E4BA3-1F48-4622-9637-51A8045BFB35}">
      <formula1>"SI,NO"</formula1>
    </dataValidation>
    <dataValidation type="decimal" operator="greaterThanOrEqual" sqref="C27 C31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>
      <selection activeCell="A12" sqref="A12"/>
    </sheetView>
  </sheetViews>
  <sheetFormatPr baseColWidth="10" defaultColWidth="8.85546875" defaultRowHeight="15" x14ac:dyDescent="0.25"/>
  <cols>
    <col min="1" max="1" width="120" customWidth="1"/>
  </cols>
  <sheetData>
    <row r="1" spans="1:1" ht="21" x14ac:dyDescent="0.25">
      <c r="A1" s="8" t="s">
        <v>92</v>
      </c>
    </row>
    <row r="2" spans="1:1" x14ac:dyDescent="0.25">
      <c r="A2" s="9"/>
    </row>
    <row r="3" spans="1:1" x14ac:dyDescent="0.25">
      <c r="A3" s="9" t="s">
        <v>93</v>
      </c>
    </row>
    <row r="4" spans="1:1" x14ac:dyDescent="0.25">
      <c r="A4" s="9" t="s">
        <v>94</v>
      </c>
    </row>
    <row r="5" spans="1:1" x14ac:dyDescent="0.25">
      <c r="A5" s="9" t="s">
        <v>95</v>
      </c>
    </row>
    <row r="6" spans="1:1" x14ac:dyDescent="0.25">
      <c r="A6" s="9" t="s">
        <v>96</v>
      </c>
    </row>
    <row r="7" spans="1:1" ht="30" x14ac:dyDescent="0.25">
      <c r="A7" s="9" t="s">
        <v>97</v>
      </c>
    </row>
    <row r="8" spans="1:1" x14ac:dyDescent="0.25">
      <c r="A8" s="9" t="s">
        <v>98</v>
      </c>
    </row>
    <row r="9" spans="1:1" ht="30" x14ac:dyDescent="0.25">
      <c r="A9" s="9" t="s">
        <v>99</v>
      </c>
    </row>
    <row r="10" spans="1:1" x14ac:dyDescent="0.25">
      <c r="A10" s="9" t="s">
        <v>100</v>
      </c>
    </row>
    <row r="11" spans="1:1" x14ac:dyDescent="0.25">
      <c r="A11" s="9" t="s">
        <v>101</v>
      </c>
    </row>
    <row r="12" spans="1:1" x14ac:dyDescent="0.25">
      <c r="A12" s="13" t="s">
        <v>113</v>
      </c>
    </row>
    <row r="13" spans="1:1" x14ac:dyDescent="0.25">
      <c r="A13" s="9" t="s">
        <v>102</v>
      </c>
    </row>
    <row r="14" spans="1:1" x14ac:dyDescent="0.25">
      <c r="A14" s="9"/>
    </row>
    <row r="15" spans="1:1" x14ac:dyDescent="0.25">
      <c r="A15" s="9"/>
    </row>
    <row r="16" spans="1:1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Alarcon Carrasco (Alumno)</cp:lastModifiedBy>
  <dcterms:created xsi:type="dcterms:W3CDTF">2026-01-20T00:15:20Z</dcterms:created>
  <dcterms:modified xsi:type="dcterms:W3CDTF">2026-05-26T18:10:08Z</dcterms:modified>
</cp:coreProperties>
</file>